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ghub Portfolio Dacuments\"/>
    </mc:Choice>
  </mc:AlternateContent>
  <xr:revisionPtr revIDLastSave="0" documentId="13_ncr:1_{A638DDF7-AFFD-4940-8844-B99491C12751}" xr6:coauthVersionLast="47" xr6:coauthVersionMax="47" xr10:uidLastSave="{00000000-0000-0000-0000-000000000000}"/>
  <bookViews>
    <workbookView xWindow="-108" yWindow="-108" windowWidth="23256" windowHeight="12456" activeTab="1" xr2:uid="{B96EE017-5E35-4409-A384-A04B1EB827A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  <c r="H1" i="1"/>
  <c r="F1" i="1"/>
</calcChain>
</file>

<file path=xl/sharedStrings.xml><?xml version="1.0" encoding="utf-8"?>
<sst xmlns="http://schemas.openxmlformats.org/spreadsheetml/2006/main" count="251" uniqueCount="31">
  <si>
    <t>Gemini</t>
  </si>
  <si>
    <t>Task 1</t>
  </si>
  <si>
    <t>Hirsch</t>
  </si>
  <si>
    <t>Task 2</t>
  </si>
  <si>
    <t>Samora</t>
  </si>
  <si>
    <t>Task 3</t>
  </si>
  <si>
    <t>McFay</t>
  </si>
  <si>
    <t>Task 4</t>
  </si>
  <si>
    <t>Wood</t>
  </si>
  <si>
    <t>Task 5</t>
  </si>
  <si>
    <t>Ladd</t>
  </si>
  <si>
    <t>Task 6</t>
  </si>
  <si>
    <t>Task 7</t>
  </si>
  <si>
    <t>Task 8</t>
  </si>
  <si>
    <t>Task 9</t>
  </si>
  <si>
    <t>Task 10</t>
  </si>
  <si>
    <t>Orion</t>
  </si>
  <si>
    <t>Vega</t>
  </si>
  <si>
    <t>Delta</t>
  </si>
  <si>
    <t>Alpha</t>
  </si>
  <si>
    <t xml:space="preserve">Details for Budget </t>
  </si>
  <si>
    <t>Project</t>
  </si>
  <si>
    <t>Task</t>
  </si>
  <si>
    <t>Manager</t>
  </si>
  <si>
    <t>Start Date</t>
  </si>
  <si>
    <t>Duration</t>
  </si>
  <si>
    <t>End Date</t>
  </si>
  <si>
    <t>Days completed</t>
  </si>
  <si>
    <t>Progress</t>
  </si>
  <si>
    <t>Budget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</si>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</sst>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3" fontId="0" fillId="2" borderId="2" xfId="0" applyNumberFormat="1" applyFill="1" applyBorder="1"/>
    <xf numFmtId="9" fontId="0" fillId="2" borderId="2" xfId="1" applyFont="1" applyFill="1" applyBorder="1"/>
    <xf numFmtId="3" fontId="0" fillId="2" borderId="3" xfId="0" applyNumberFormat="1" applyFill="1" applyBorder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Full%20Personal%20Project%203.xlsx" TargetMode="External"/><Relationship Id="rId1" Type="http://schemas.openxmlformats.org/officeDocument/2006/relationships/externalLinkPath" Target="/Users/user/Documents/Full%20Personal%20Project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Detail1"/>
      <sheetName val="workings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323EF5-7E43-4B23-AD0C-03049189BA03}" name="Table2" displayName="Table2" ref="A3:J43" totalsRowShown="0">
  <autoFilter ref="A3:J43" xr:uid="{CB323EF5-7E43-4B23-AD0C-03049189BA03}"/>
  <tableColumns count="10">
    <tableColumn id="1" xr3:uid="{BF69966F-DECE-4E3A-8997-FCBC075B404B}" name="Project"/>
    <tableColumn id="2" xr3:uid="{5C8B3F64-E783-464B-863E-ADB6949D474F}" name="Task"/>
    <tableColumn id="3" xr3:uid="{8A0EEE7E-587D-45F0-849A-0E758A794C91}" name="Manager"/>
    <tableColumn id="4" xr3:uid="{6E07803D-C8AB-4411-9E60-CD6948AA0390}" name="Start Date" dataDxfId="1"/>
    <tableColumn id="5" xr3:uid="{1AD5EE3C-4E87-4584-A18B-ECFC4F5BA5C4}" name="Duration"/>
    <tableColumn id="6" xr3:uid="{6BE146B0-CA28-4309-BC09-D5BB68ECAD3C}" name="End Date" dataDxfId="0"/>
    <tableColumn id="7" xr3:uid="{25FC9CA3-CD49-4E75-9905-BF2780812C58}" name="Days completed"/>
    <tableColumn id="8" xr3:uid="{532208C6-6E85-409E-A6FF-0EE96BDA4B8F}" name="Progress"/>
    <tableColumn id="9" xr3:uid="{8EFBE96A-CA7F-42DA-AAF8-40E0A3CCEA4C}" name="Budget"/>
    <tableColumn id="10" xr3:uid="{AB3D24AF-3127-43FE-A8B8-D819B3A25A3E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9C4E-7433-4336-BCBD-48790C9AF0EE}">
  <dimension ref="A1:J40"/>
  <sheetViews>
    <sheetView workbookViewId="0">
      <selection sqref="A1:J40"/>
    </sheetView>
  </sheetViews>
  <sheetFormatPr defaultRowHeight="14.4" x14ac:dyDescent="0.3"/>
  <cols>
    <col min="4" max="4" width="15.21875" customWidth="1"/>
    <col min="6" max="6" width="1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3">
        <v>43878</v>
      </c>
      <c r="E1" s="2">
        <v>5</v>
      </c>
      <c r="F1" s="3" t="e">
        <f>WORKDAY.INTL([1]!Table1[[#This Row],[Start Date]]-1,[1]!Table1[[#This Row],[Duration]],1)</f>
        <v>#VALUE!</v>
      </c>
      <c r="G1" s="4">
        <v>2</v>
      </c>
      <c r="H1" s="5" t="e">
        <f>[1]!Table1[[#This Row],[Days completed]]/[1]!Table1[[#This Row],[Duration]]</f>
        <v>#VALUE!</v>
      </c>
      <c r="I1" s="4">
        <v>218000</v>
      </c>
      <c r="J1" s="6">
        <v>97337</v>
      </c>
    </row>
    <row r="2" spans="1:10" x14ac:dyDescent="0.3">
      <c r="A2" s="1" t="s">
        <v>0</v>
      </c>
      <c r="B2" s="2" t="s">
        <v>3</v>
      </c>
      <c r="C2" s="2" t="s">
        <v>4</v>
      </c>
      <c r="D2" s="3">
        <v>43878</v>
      </c>
      <c r="E2" s="2">
        <v>6</v>
      </c>
      <c r="F2" s="3">
        <f>WORKDAY.INTL([1]!Table1[[#This Row],[Start Date]]-1,[1]!Table1[[#This Row],[Duration]],1)</f>
        <v>43882</v>
      </c>
      <c r="G2" s="4">
        <v>3</v>
      </c>
      <c r="H2" s="5">
        <f>[1]!Table1[[#This Row],[Days completed]]/[1]!Table1[[#This Row],[Duration]]</f>
        <v>0.4</v>
      </c>
      <c r="I2" s="4">
        <v>393000</v>
      </c>
      <c r="J2" s="6">
        <v>177440</v>
      </c>
    </row>
    <row r="3" spans="1:10" x14ac:dyDescent="0.3">
      <c r="A3" s="1" t="s">
        <v>0</v>
      </c>
      <c r="B3" s="2" t="s">
        <v>5</v>
      </c>
      <c r="C3" s="2" t="s">
        <v>6</v>
      </c>
      <c r="D3" s="3">
        <v>43879</v>
      </c>
      <c r="E3" s="2">
        <v>10</v>
      </c>
      <c r="F3" s="3">
        <f>WORKDAY.INTL([1]!Table1[[#This Row],[Start Date]]-1,[1]!Table1[[#This Row],[Duration]],1)</f>
        <v>43885</v>
      </c>
      <c r="G3" s="4">
        <v>4</v>
      </c>
      <c r="H3" s="5">
        <f>[1]!Table1[[#This Row],[Days completed]]/[1]!Table1[[#This Row],[Duration]]</f>
        <v>0.5</v>
      </c>
      <c r="I3" s="4">
        <v>86000</v>
      </c>
      <c r="J3" s="6">
        <v>31046</v>
      </c>
    </row>
    <row r="4" spans="1:10" x14ac:dyDescent="0.3">
      <c r="A4" s="1" t="s">
        <v>0</v>
      </c>
      <c r="B4" s="2" t="s">
        <v>7</v>
      </c>
      <c r="C4" s="2" t="s">
        <v>8</v>
      </c>
      <c r="D4" s="3">
        <v>43882</v>
      </c>
      <c r="E4" s="2">
        <v>9</v>
      </c>
      <c r="F4" s="3">
        <f>WORKDAY.INTL([1]!Table1[[#This Row],[Start Date]]-1,[1]!Table1[[#This Row],[Duration]],1)</f>
        <v>43892</v>
      </c>
      <c r="G4" s="4">
        <v>3</v>
      </c>
      <c r="H4" s="5">
        <f>[1]!Table1[[#This Row],[Days completed]]/[1]!Table1[[#This Row],[Duration]]</f>
        <v>0.4</v>
      </c>
      <c r="I4" s="4">
        <v>732000</v>
      </c>
      <c r="J4" s="6">
        <v>261324</v>
      </c>
    </row>
    <row r="5" spans="1:10" x14ac:dyDescent="0.3">
      <c r="A5" s="1" t="s">
        <v>0</v>
      </c>
      <c r="B5" s="2" t="s">
        <v>9</v>
      </c>
      <c r="C5" s="2" t="s">
        <v>10</v>
      </c>
      <c r="D5" s="3">
        <v>43878</v>
      </c>
      <c r="E5" s="2">
        <v>4</v>
      </c>
      <c r="F5" s="3">
        <f>WORKDAY.INTL([1]!Table1[[#This Row],[Start Date]]-1,[1]!Table1[[#This Row],[Duration]],1)</f>
        <v>43894</v>
      </c>
      <c r="G5" s="4">
        <v>1</v>
      </c>
      <c r="H5" s="5">
        <f>[1]!Table1[[#This Row],[Days completed]]/[1]!Table1[[#This Row],[Duration]]</f>
        <v>0.33333333333333331</v>
      </c>
      <c r="I5" s="4">
        <v>492000</v>
      </c>
      <c r="J5" s="6">
        <v>116850</v>
      </c>
    </row>
    <row r="6" spans="1:10" x14ac:dyDescent="0.3">
      <c r="A6" s="1" t="s">
        <v>0</v>
      </c>
      <c r="B6" s="2" t="s">
        <v>11</v>
      </c>
      <c r="C6" s="2" t="s">
        <v>2</v>
      </c>
      <c r="D6" s="3">
        <v>43881</v>
      </c>
      <c r="E6" s="2">
        <v>6</v>
      </c>
      <c r="F6" s="3">
        <f>WORKDAY.INTL([1]!Table1[[#This Row],[Start Date]]-1,[1]!Table1[[#This Row],[Duration]],1)</f>
        <v>43881</v>
      </c>
      <c r="G6" s="4">
        <v>0</v>
      </c>
      <c r="H6" s="5">
        <f>[1]!Table1[[#This Row],[Days completed]]/[1]!Table1[[#This Row],[Duration]]</f>
        <v>0.25</v>
      </c>
      <c r="I6" s="4">
        <v>188000</v>
      </c>
      <c r="J6" s="6">
        <v>0</v>
      </c>
    </row>
    <row r="7" spans="1:10" x14ac:dyDescent="0.3">
      <c r="A7" s="1" t="s">
        <v>0</v>
      </c>
      <c r="B7" s="2" t="s">
        <v>12</v>
      </c>
      <c r="C7" s="2" t="s">
        <v>4</v>
      </c>
      <c r="D7" s="3">
        <v>43881</v>
      </c>
      <c r="E7" s="2">
        <v>7</v>
      </c>
      <c r="F7" s="3">
        <f>WORKDAY.INTL([1]!Table1[[#This Row],[Start Date]]-1,[1]!Table1[[#This Row],[Duration]],1)</f>
        <v>43888</v>
      </c>
      <c r="G7" s="4">
        <v>3</v>
      </c>
      <c r="H7" s="5">
        <f>[1]!Table1[[#This Row],[Days completed]]/[1]!Table1[[#This Row],[Duration]]</f>
        <v>0</v>
      </c>
      <c r="I7" s="4">
        <v>180000</v>
      </c>
      <c r="J7" s="6">
        <v>79380</v>
      </c>
    </row>
    <row r="8" spans="1:10" x14ac:dyDescent="0.3">
      <c r="A8" s="1" t="s">
        <v>0</v>
      </c>
      <c r="B8" s="2" t="s">
        <v>13</v>
      </c>
      <c r="C8" s="2" t="s">
        <v>6</v>
      </c>
      <c r="D8" s="3">
        <v>43885</v>
      </c>
      <c r="E8" s="2">
        <v>5</v>
      </c>
      <c r="F8" s="3">
        <f>WORKDAY.INTL([1]!Table1[[#This Row],[Start Date]]-1,[1]!Table1[[#This Row],[Duration]],1)</f>
        <v>43889</v>
      </c>
      <c r="G8" s="4">
        <v>2</v>
      </c>
      <c r="H8" s="5">
        <f>[1]!Table1[[#This Row],[Days completed]]/[1]!Table1[[#This Row],[Duration]]</f>
        <v>0.42857142857142855</v>
      </c>
      <c r="I8" s="4">
        <v>582000</v>
      </c>
      <c r="J8" s="6">
        <v>195231</v>
      </c>
    </row>
    <row r="9" spans="1:10" x14ac:dyDescent="0.3">
      <c r="A9" s="1" t="s">
        <v>0</v>
      </c>
      <c r="B9" s="2" t="s">
        <v>14</v>
      </c>
      <c r="C9" s="2" t="s">
        <v>8</v>
      </c>
      <c r="D9" s="3">
        <v>43885</v>
      </c>
      <c r="E9" s="2">
        <v>9</v>
      </c>
      <c r="F9" s="3">
        <f>WORKDAY.INTL([1]!Table1[[#This Row],[Start Date]]-1,[1]!Table1[[#This Row],[Duration]],1)</f>
        <v>43889</v>
      </c>
      <c r="G9" s="4">
        <v>1</v>
      </c>
      <c r="H9" s="5">
        <f>[1]!Table1[[#This Row],[Days completed]]/[1]!Table1[[#This Row],[Duration]]</f>
        <v>0.4</v>
      </c>
      <c r="I9" s="4">
        <v>562000</v>
      </c>
      <c r="J9" s="6">
        <v>74746</v>
      </c>
    </row>
    <row r="10" spans="1:10" x14ac:dyDescent="0.3">
      <c r="A10" s="1" t="s">
        <v>0</v>
      </c>
      <c r="B10" s="2" t="s">
        <v>15</v>
      </c>
      <c r="C10" s="2" t="s">
        <v>10</v>
      </c>
      <c r="D10" s="3">
        <v>43885</v>
      </c>
      <c r="E10" s="2">
        <v>6</v>
      </c>
      <c r="F10" s="3">
        <f>WORKDAY.INTL([1]!Table1[[#This Row],[Start Date]]-1,[1]!Table1[[#This Row],[Duration]],1)</f>
        <v>43895</v>
      </c>
      <c r="G10" s="4">
        <v>3</v>
      </c>
      <c r="H10" s="5">
        <f>[1]!Table1[[#This Row],[Days completed]]/[1]!Table1[[#This Row],[Duration]]</f>
        <v>0.1111111111111111</v>
      </c>
      <c r="I10" s="4">
        <v>416000</v>
      </c>
      <c r="J10" s="6">
        <v>175015</v>
      </c>
    </row>
    <row r="11" spans="1:10" x14ac:dyDescent="0.3">
      <c r="A11" s="1" t="s">
        <v>16</v>
      </c>
      <c r="B11" s="2" t="s">
        <v>1</v>
      </c>
      <c r="C11" s="2" t="s">
        <v>2</v>
      </c>
      <c r="D11" s="3">
        <v>43879</v>
      </c>
      <c r="E11" s="2">
        <v>7</v>
      </c>
      <c r="F11" s="3">
        <f>WORKDAY.INTL([1]!Table1[[#This Row],[Start Date]]-1,[1]!Table1[[#This Row],[Duration]],1)</f>
        <v>43892</v>
      </c>
      <c r="G11" s="4">
        <v>7</v>
      </c>
      <c r="H11" s="5">
        <f>[1]!Table1[[#This Row],[Days completed]]/[1]!Table1[[#This Row],[Duration]]</f>
        <v>0.5</v>
      </c>
      <c r="I11" s="4">
        <v>293000</v>
      </c>
      <c r="J11" s="6">
        <v>273001</v>
      </c>
    </row>
    <row r="12" spans="1:10" x14ac:dyDescent="0.3">
      <c r="A12" s="1" t="s">
        <v>16</v>
      </c>
      <c r="B12" s="2" t="s">
        <v>3</v>
      </c>
      <c r="C12" s="2" t="s">
        <v>4</v>
      </c>
      <c r="D12" s="3">
        <v>43878</v>
      </c>
      <c r="E12" s="2">
        <v>9</v>
      </c>
      <c r="F12" s="3">
        <f>WORKDAY.INTL([1]!Table1[[#This Row],[Start Date]]-1,[1]!Table1[[#This Row],[Duration]],1)</f>
        <v>43887</v>
      </c>
      <c r="G12" s="4">
        <v>4</v>
      </c>
      <c r="H12" s="5">
        <f>[1]!Table1[[#This Row],[Days completed]]/[1]!Table1[[#This Row],[Duration]]</f>
        <v>1</v>
      </c>
      <c r="I12" s="4">
        <v>224000</v>
      </c>
      <c r="J12" s="6">
        <v>57910</v>
      </c>
    </row>
    <row r="13" spans="1:10" x14ac:dyDescent="0.3">
      <c r="A13" s="1" t="s">
        <v>16</v>
      </c>
      <c r="B13" s="2" t="s">
        <v>5</v>
      </c>
      <c r="C13" s="2" t="s">
        <v>6</v>
      </c>
      <c r="D13" s="3">
        <v>43879</v>
      </c>
      <c r="E13" s="2">
        <v>8</v>
      </c>
      <c r="F13" s="3">
        <f>WORKDAY.INTL([1]!Table1[[#This Row],[Start Date]]-1,[1]!Table1[[#This Row],[Duration]],1)</f>
        <v>43888</v>
      </c>
      <c r="G13" s="4">
        <v>0</v>
      </c>
      <c r="H13" s="5">
        <f>[1]!Table1[[#This Row],[Days completed]]/[1]!Table1[[#This Row],[Duration]]</f>
        <v>0.44444444444444442</v>
      </c>
      <c r="I13" s="4">
        <v>978000</v>
      </c>
      <c r="J13" s="6">
        <v>0</v>
      </c>
    </row>
    <row r="14" spans="1:10" x14ac:dyDescent="0.3">
      <c r="A14" s="1" t="s">
        <v>16</v>
      </c>
      <c r="B14" s="2" t="s">
        <v>7</v>
      </c>
      <c r="C14" s="2" t="s">
        <v>8</v>
      </c>
      <c r="D14" s="3">
        <v>43881</v>
      </c>
      <c r="E14" s="2">
        <v>7</v>
      </c>
      <c r="F14" s="3">
        <f>WORKDAY.INTL([1]!Table1[[#This Row],[Start Date]]-1,[1]!Table1[[#This Row],[Duration]],1)</f>
        <v>43888</v>
      </c>
      <c r="G14" s="4">
        <v>3</v>
      </c>
      <c r="H14" s="5">
        <f>[1]!Table1[[#This Row],[Days completed]]/[1]!Table1[[#This Row],[Duration]]</f>
        <v>0</v>
      </c>
      <c r="I14" s="4">
        <v>932000</v>
      </c>
      <c r="J14" s="6">
        <v>379157</v>
      </c>
    </row>
    <row r="15" spans="1:10" x14ac:dyDescent="0.3">
      <c r="A15" s="1" t="s">
        <v>16</v>
      </c>
      <c r="B15" s="2" t="s">
        <v>9</v>
      </c>
      <c r="C15" s="2" t="s">
        <v>10</v>
      </c>
      <c r="D15" s="3">
        <v>43882</v>
      </c>
      <c r="E15" s="2">
        <v>4</v>
      </c>
      <c r="F15" s="3">
        <f>WORKDAY.INTL([1]!Table1[[#This Row],[Start Date]]-1,[1]!Table1[[#This Row],[Duration]],1)</f>
        <v>43889</v>
      </c>
      <c r="G15" s="4">
        <v>1</v>
      </c>
      <c r="H15" s="5">
        <f>[1]!Table1[[#This Row],[Days completed]]/[1]!Table1[[#This Row],[Duration]]</f>
        <v>0.42857142857142855</v>
      </c>
      <c r="I15" s="4">
        <v>854000</v>
      </c>
      <c r="J15" s="6">
        <v>322812</v>
      </c>
    </row>
    <row r="16" spans="1:10" x14ac:dyDescent="0.3">
      <c r="A16" s="1" t="s">
        <v>16</v>
      </c>
      <c r="B16" s="2" t="s">
        <v>11</v>
      </c>
      <c r="C16" s="2" t="s">
        <v>2</v>
      </c>
      <c r="D16" s="3">
        <v>43882</v>
      </c>
      <c r="E16" s="2">
        <v>6</v>
      </c>
      <c r="F16" s="3">
        <f>WORKDAY.INTL([1]!Table1[[#This Row],[Start Date]]-1,[1]!Table1[[#This Row],[Duration]],1)</f>
        <v>43887</v>
      </c>
      <c r="G16" s="4">
        <v>3</v>
      </c>
      <c r="H16" s="5">
        <f>[1]!Table1[[#This Row],[Days completed]]/[1]!Table1[[#This Row],[Duration]]</f>
        <v>0.25</v>
      </c>
      <c r="I16" s="4">
        <v>81000</v>
      </c>
      <c r="J16" s="6">
        <v>38461</v>
      </c>
    </row>
    <row r="17" spans="1:10" x14ac:dyDescent="0.3">
      <c r="A17" s="1" t="s">
        <v>16</v>
      </c>
      <c r="B17" s="2" t="s">
        <v>12</v>
      </c>
      <c r="C17" s="2" t="s">
        <v>4</v>
      </c>
      <c r="D17" s="3">
        <v>43885</v>
      </c>
      <c r="E17" s="2">
        <v>6</v>
      </c>
      <c r="F17" s="3">
        <f>WORKDAY.INTL([1]!Table1[[#This Row],[Start Date]]-1,[1]!Table1[[#This Row],[Duration]],1)</f>
        <v>43889</v>
      </c>
      <c r="G17" s="4">
        <v>5</v>
      </c>
      <c r="H17" s="5">
        <f>[1]!Table1[[#This Row],[Days completed]]/[1]!Table1[[#This Row],[Duration]]</f>
        <v>0.5</v>
      </c>
      <c r="I17" s="4">
        <v>169000</v>
      </c>
      <c r="J17" s="6">
        <v>136468</v>
      </c>
    </row>
    <row r="18" spans="1:10" x14ac:dyDescent="0.3">
      <c r="A18" s="1" t="s">
        <v>16</v>
      </c>
      <c r="B18" s="2" t="s">
        <v>13</v>
      </c>
      <c r="C18" s="2" t="s">
        <v>6</v>
      </c>
      <c r="D18" s="3">
        <v>43886</v>
      </c>
      <c r="E18" s="2">
        <v>4</v>
      </c>
      <c r="F18" s="3">
        <f>WORKDAY.INTL([1]!Table1[[#This Row],[Start Date]]-1,[1]!Table1[[#This Row],[Duration]],1)</f>
        <v>43892</v>
      </c>
      <c r="G18" s="4">
        <v>1</v>
      </c>
      <c r="H18" s="5">
        <f>[1]!Table1[[#This Row],[Days completed]]/[1]!Table1[[#This Row],[Duration]]</f>
        <v>0.83333333333333337</v>
      </c>
      <c r="I18" s="4">
        <v>61000</v>
      </c>
      <c r="J18" s="6">
        <v>12078</v>
      </c>
    </row>
    <row r="19" spans="1:10" x14ac:dyDescent="0.3">
      <c r="A19" s="1" t="s">
        <v>16</v>
      </c>
      <c r="B19" s="2" t="s">
        <v>14</v>
      </c>
      <c r="C19" s="2" t="s">
        <v>8</v>
      </c>
      <c r="D19" s="3">
        <v>43888</v>
      </c>
      <c r="E19" s="2">
        <v>7</v>
      </c>
      <c r="F19" s="3">
        <f>WORKDAY.INTL([1]!Table1[[#This Row],[Start Date]]-1,[1]!Table1[[#This Row],[Duration]],1)</f>
        <v>43889</v>
      </c>
      <c r="G19" s="4">
        <v>3</v>
      </c>
      <c r="H19" s="5">
        <f>[1]!Table1[[#This Row],[Days completed]]/[1]!Table1[[#This Row],[Duration]]</f>
        <v>0.25</v>
      </c>
      <c r="I19" s="4">
        <v>645000</v>
      </c>
      <c r="J19" s="6">
        <v>273048</v>
      </c>
    </row>
    <row r="20" spans="1:10" x14ac:dyDescent="0.3">
      <c r="A20" s="1" t="s">
        <v>16</v>
      </c>
      <c r="B20" s="2" t="s">
        <v>15</v>
      </c>
      <c r="C20" s="2" t="s">
        <v>10</v>
      </c>
      <c r="D20" s="3">
        <v>43878</v>
      </c>
      <c r="E20" s="2">
        <v>3</v>
      </c>
      <c r="F20" s="3">
        <f>WORKDAY.INTL([1]!Table1[[#This Row],[Start Date]]-1,[1]!Table1[[#This Row],[Duration]],1)</f>
        <v>43896</v>
      </c>
      <c r="G20" s="4">
        <v>3</v>
      </c>
      <c r="H20" s="5">
        <f>[1]!Table1[[#This Row],[Days completed]]/[1]!Table1[[#This Row],[Duration]]</f>
        <v>0.42857142857142855</v>
      </c>
      <c r="I20" s="4">
        <v>68000</v>
      </c>
      <c r="J20" s="6">
        <v>64987</v>
      </c>
    </row>
    <row r="21" spans="1:10" x14ac:dyDescent="0.3">
      <c r="A21" s="1" t="s">
        <v>17</v>
      </c>
      <c r="B21" s="2" t="s">
        <v>1</v>
      </c>
      <c r="C21" s="2" t="s">
        <v>2</v>
      </c>
      <c r="D21" s="3">
        <v>43878</v>
      </c>
      <c r="E21" s="2">
        <v>10</v>
      </c>
      <c r="F21" s="3">
        <f>WORKDAY.INTL([1]!Table1[[#This Row],[Start Date]]-1,[1]!Table1[[#This Row],[Duration]],1)</f>
        <v>43880</v>
      </c>
      <c r="G21" s="4">
        <v>5</v>
      </c>
      <c r="H21" s="5">
        <f>[1]!Table1[[#This Row],[Days completed]]/[1]!Table1[[#This Row],[Duration]]</f>
        <v>1</v>
      </c>
      <c r="I21" s="4">
        <v>839000</v>
      </c>
      <c r="J21" s="6">
        <v>406974</v>
      </c>
    </row>
    <row r="22" spans="1:10" x14ac:dyDescent="0.3">
      <c r="A22" s="1" t="s">
        <v>17</v>
      </c>
      <c r="B22" s="2" t="s">
        <v>3</v>
      </c>
      <c r="C22" s="2" t="s">
        <v>4</v>
      </c>
      <c r="D22" s="3">
        <v>43882</v>
      </c>
      <c r="E22" s="2">
        <v>5</v>
      </c>
      <c r="F22" s="3">
        <f>WORKDAY.INTL([1]!Table1[[#This Row],[Start Date]]-1,[1]!Table1[[#This Row],[Duration]],1)</f>
        <v>43889</v>
      </c>
      <c r="G22" s="4">
        <v>4</v>
      </c>
      <c r="H22" s="5">
        <f>[1]!Table1[[#This Row],[Days completed]]/[1]!Table1[[#This Row],[Duration]]</f>
        <v>0.5</v>
      </c>
      <c r="I22" s="4">
        <v>729000</v>
      </c>
      <c r="J22" s="6">
        <v>487139</v>
      </c>
    </row>
    <row r="23" spans="1:10" x14ac:dyDescent="0.3">
      <c r="A23" s="1" t="s">
        <v>17</v>
      </c>
      <c r="B23" s="2" t="s">
        <v>5</v>
      </c>
      <c r="C23" s="2" t="s">
        <v>6</v>
      </c>
      <c r="D23" s="3">
        <v>43885</v>
      </c>
      <c r="E23" s="2">
        <v>7</v>
      </c>
      <c r="F23" s="3">
        <f>WORKDAY.INTL([1]!Table1[[#This Row],[Start Date]]-1,[1]!Table1[[#This Row],[Duration]],1)</f>
        <v>43888</v>
      </c>
      <c r="G23" s="4">
        <v>3</v>
      </c>
      <c r="H23" s="5">
        <f>[1]!Table1[[#This Row],[Days completed]]/[1]!Table1[[#This Row],[Duration]]</f>
        <v>0.8</v>
      </c>
      <c r="I23" s="4">
        <v>826000</v>
      </c>
      <c r="J23" s="6">
        <v>298186</v>
      </c>
    </row>
    <row r="24" spans="1:10" x14ac:dyDescent="0.3">
      <c r="A24" s="1" t="s">
        <v>17</v>
      </c>
      <c r="B24" s="2" t="s">
        <v>7</v>
      </c>
      <c r="C24" s="2" t="s">
        <v>8</v>
      </c>
      <c r="D24" s="3">
        <v>43887</v>
      </c>
      <c r="E24" s="2">
        <v>7</v>
      </c>
      <c r="F24" s="3">
        <f>WORKDAY.INTL([1]!Table1[[#This Row],[Start Date]]-1,[1]!Table1[[#This Row],[Duration]],1)</f>
        <v>43893</v>
      </c>
      <c r="G24" s="4">
        <v>2</v>
      </c>
      <c r="H24" s="5">
        <f>[1]!Table1[[#This Row],[Days completed]]/[1]!Table1[[#This Row],[Duration]]</f>
        <v>0.42857142857142855</v>
      </c>
      <c r="I24" s="4">
        <v>895000</v>
      </c>
      <c r="J24" s="6">
        <v>280583</v>
      </c>
    </row>
    <row r="25" spans="1:10" x14ac:dyDescent="0.3">
      <c r="A25" s="1" t="s">
        <v>17</v>
      </c>
      <c r="B25" s="2" t="s">
        <v>9</v>
      </c>
      <c r="C25" s="2" t="s">
        <v>10</v>
      </c>
      <c r="D25" s="3">
        <v>43889</v>
      </c>
      <c r="E25" s="2">
        <v>3</v>
      </c>
      <c r="F25" s="3">
        <f>WORKDAY.INTL([1]!Table1[[#This Row],[Start Date]]-1,[1]!Table1[[#This Row],[Duration]],1)</f>
        <v>43895</v>
      </c>
      <c r="G25" s="4">
        <v>2</v>
      </c>
      <c r="H25" s="5">
        <f>[1]!Table1[[#This Row],[Days completed]]/[1]!Table1[[#This Row],[Duration]]</f>
        <v>0.2857142857142857</v>
      </c>
      <c r="I25" s="4">
        <v>341000</v>
      </c>
      <c r="J25" s="6">
        <v>129785</v>
      </c>
    </row>
    <row r="26" spans="1:10" x14ac:dyDescent="0.3">
      <c r="A26" s="1" t="s">
        <v>18</v>
      </c>
      <c r="B26" s="2" t="s">
        <v>1</v>
      </c>
      <c r="C26" s="2" t="s">
        <v>2</v>
      </c>
      <c r="D26" s="3">
        <v>43892</v>
      </c>
      <c r="E26" s="2">
        <v>9</v>
      </c>
      <c r="F26" s="3">
        <f>WORKDAY.INTL([1]!Table1[[#This Row],[Start Date]]-1,[1]!Table1[[#This Row],[Duration]],1)</f>
        <v>43893</v>
      </c>
      <c r="G26" s="4">
        <v>8</v>
      </c>
      <c r="H26" s="5">
        <f>[1]!Table1[[#This Row],[Days completed]]/[1]!Table1[[#This Row],[Duration]]</f>
        <v>0.66666666666666663</v>
      </c>
      <c r="I26" s="4">
        <v>787000</v>
      </c>
      <c r="J26" s="6">
        <v>727188</v>
      </c>
    </row>
    <row r="27" spans="1:10" x14ac:dyDescent="0.3">
      <c r="A27" s="1" t="s">
        <v>18</v>
      </c>
      <c r="B27" s="2" t="s">
        <v>3</v>
      </c>
      <c r="C27" s="2" t="s">
        <v>4</v>
      </c>
      <c r="D27" s="3">
        <v>43892</v>
      </c>
      <c r="E27" s="2">
        <v>10</v>
      </c>
      <c r="F27" s="3">
        <f>WORKDAY.INTL([1]!Table1[[#This Row],[Start Date]]-1,[1]!Table1[[#This Row],[Duration]],1)</f>
        <v>43902</v>
      </c>
      <c r="G27" s="4">
        <v>2</v>
      </c>
      <c r="H27" s="5">
        <f>[1]!Table1[[#This Row],[Days completed]]/[1]!Table1[[#This Row],[Duration]]</f>
        <v>0.88888888888888884</v>
      </c>
      <c r="I27" s="4">
        <v>228000</v>
      </c>
      <c r="J27" s="6">
        <v>47880</v>
      </c>
    </row>
    <row r="28" spans="1:10" x14ac:dyDescent="0.3">
      <c r="A28" s="1" t="s">
        <v>18</v>
      </c>
      <c r="B28" s="2" t="s">
        <v>5</v>
      </c>
      <c r="C28" s="2" t="s">
        <v>6</v>
      </c>
      <c r="D28" s="3">
        <v>43878</v>
      </c>
      <c r="E28" s="2">
        <v>4</v>
      </c>
      <c r="F28" s="3">
        <f>WORKDAY.INTL([1]!Table1[[#This Row],[Start Date]]-1,[1]!Table1[[#This Row],[Duration]],1)</f>
        <v>43903</v>
      </c>
      <c r="G28" s="4">
        <v>0</v>
      </c>
      <c r="H28" s="5">
        <f>[1]!Table1[[#This Row],[Days completed]]/[1]!Table1[[#This Row],[Duration]]</f>
        <v>0.2</v>
      </c>
      <c r="I28" s="4">
        <v>147000</v>
      </c>
      <c r="J28" s="6">
        <v>0</v>
      </c>
    </row>
    <row r="29" spans="1:10" x14ac:dyDescent="0.3">
      <c r="A29" s="1" t="s">
        <v>18</v>
      </c>
      <c r="B29" s="2" t="s">
        <v>7</v>
      </c>
      <c r="C29" s="2" t="s">
        <v>8</v>
      </c>
      <c r="D29" s="3">
        <v>43880</v>
      </c>
      <c r="E29" s="2">
        <v>8</v>
      </c>
      <c r="F29" s="3">
        <f>WORKDAY.INTL([1]!Table1[[#This Row],[Start Date]]-1,[1]!Table1[[#This Row],[Duration]],1)</f>
        <v>43881</v>
      </c>
      <c r="G29" s="4">
        <v>5</v>
      </c>
      <c r="H29" s="5">
        <f>[1]!Table1[[#This Row],[Days completed]]/[1]!Table1[[#This Row],[Duration]]</f>
        <v>0</v>
      </c>
      <c r="I29" s="4">
        <v>338000</v>
      </c>
      <c r="J29" s="6">
        <v>205123</v>
      </c>
    </row>
    <row r="30" spans="1:10" x14ac:dyDescent="0.3">
      <c r="A30" s="1" t="s">
        <v>18</v>
      </c>
      <c r="B30" s="2" t="s">
        <v>9</v>
      </c>
      <c r="C30" s="2" t="s">
        <v>10</v>
      </c>
      <c r="D30" s="3">
        <v>43885</v>
      </c>
      <c r="E30" s="2">
        <v>10</v>
      </c>
      <c r="F30" s="3">
        <f>WORKDAY.INTL([1]!Table1[[#This Row],[Start Date]]-1,[1]!Table1[[#This Row],[Duration]],1)</f>
        <v>43889</v>
      </c>
      <c r="G30" s="4">
        <v>3</v>
      </c>
      <c r="H30" s="5">
        <f>[1]!Table1[[#This Row],[Days completed]]/[1]!Table1[[#This Row],[Duration]]</f>
        <v>0.625</v>
      </c>
      <c r="I30" s="4">
        <v>857000</v>
      </c>
      <c r="J30" s="6">
        <v>305949</v>
      </c>
    </row>
    <row r="31" spans="1:10" x14ac:dyDescent="0.3">
      <c r="A31" s="1" t="s">
        <v>18</v>
      </c>
      <c r="B31" s="2" t="s">
        <v>11</v>
      </c>
      <c r="C31" s="2" t="s">
        <v>2</v>
      </c>
      <c r="D31" s="3">
        <v>43886</v>
      </c>
      <c r="E31" s="2">
        <v>6</v>
      </c>
      <c r="F31" s="3">
        <f>WORKDAY.INTL([1]!Table1[[#This Row],[Start Date]]-1,[1]!Table1[[#This Row],[Duration]],1)</f>
        <v>43896</v>
      </c>
      <c r="G31" s="4">
        <v>3</v>
      </c>
      <c r="H31" s="5">
        <f>[1]!Table1[[#This Row],[Days completed]]/[1]!Table1[[#This Row],[Duration]]</f>
        <v>0.3</v>
      </c>
      <c r="I31" s="4">
        <v>602000</v>
      </c>
      <c r="J31" s="6">
        <v>322371</v>
      </c>
    </row>
    <row r="32" spans="1:10" x14ac:dyDescent="0.3">
      <c r="A32" s="1" t="s">
        <v>18</v>
      </c>
      <c r="B32" s="2" t="s">
        <v>12</v>
      </c>
      <c r="C32" s="2" t="s">
        <v>4</v>
      </c>
      <c r="D32" s="3">
        <v>43886</v>
      </c>
      <c r="E32" s="2">
        <v>4</v>
      </c>
      <c r="F32" s="3">
        <f>WORKDAY.INTL([1]!Table1[[#This Row],[Start Date]]-1,[1]!Table1[[#This Row],[Duration]],1)</f>
        <v>43893</v>
      </c>
      <c r="G32" s="4">
        <v>2</v>
      </c>
      <c r="H32" s="5">
        <f>[1]!Table1[[#This Row],[Days completed]]/[1]!Table1[[#This Row],[Duration]]</f>
        <v>0.5</v>
      </c>
      <c r="I32" s="4">
        <v>990000</v>
      </c>
      <c r="J32" s="6">
        <v>451440</v>
      </c>
    </row>
    <row r="33" spans="1:10" x14ac:dyDescent="0.3">
      <c r="A33" s="1" t="s">
        <v>19</v>
      </c>
      <c r="B33" s="2" t="s">
        <v>1</v>
      </c>
      <c r="C33" s="2" t="s">
        <v>6</v>
      </c>
      <c r="D33" s="3">
        <v>43889</v>
      </c>
      <c r="E33" s="2">
        <v>8</v>
      </c>
      <c r="F33" s="3">
        <f>WORKDAY.INTL([1]!Table1[[#This Row],[Start Date]]-1,[1]!Table1[[#This Row],[Duration]],1)</f>
        <v>43889</v>
      </c>
      <c r="G33" s="4">
        <v>3</v>
      </c>
      <c r="H33" s="5">
        <f>[1]!Table1[[#This Row],[Days completed]]/[1]!Table1[[#This Row],[Duration]]</f>
        <v>0.5</v>
      </c>
      <c r="I33" s="4">
        <v>96000</v>
      </c>
      <c r="J33" s="6">
        <v>32256</v>
      </c>
    </row>
    <row r="34" spans="1:10" x14ac:dyDescent="0.3">
      <c r="A34" s="1" t="s">
        <v>19</v>
      </c>
      <c r="B34" s="2" t="s">
        <v>3</v>
      </c>
      <c r="C34" s="2" t="s">
        <v>8</v>
      </c>
      <c r="D34" s="3">
        <v>43892</v>
      </c>
      <c r="E34" s="2">
        <v>9</v>
      </c>
      <c r="F34" s="3">
        <f>WORKDAY.INTL([1]!Table1[[#This Row],[Start Date]]-1,[1]!Table1[[#This Row],[Duration]],1)</f>
        <v>43900</v>
      </c>
      <c r="G34" s="4">
        <v>4</v>
      </c>
      <c r="H34" s="5">
        <f>[1]!Table1[[#This Row],[Days completed]]/[1]!Table1[[#This Row],[Duration]]</f>
        <v>0.375</v>
      </c>
      <c r="I34" s="4">
        <v>513000</v>
      </c>
      <c r="J34" s="6">
        <v>226233</v>
      </c>
    </row>
    <row r="35" spans="1:10" x14ac:dyDescent="0.3">
      <c r="A35" s="1" t="s">
        <v>19</v>
      </c>
      <c r="B35" s="2" t="s">
        <v>5</v>
      </c>
      <c r="C35" s="2" t="s">
        <v>10</v>
      </c>
      <c r="D35" s="3">
        <v>43881</v>
      </c>
      <c r="E35" s="2">
        <v>5</v>
      </c>
      <c r="F35" s="3">
        <f>WORKDAY.INTL([1]!Table1[[#This Row],[Start Date]]-1,[1]!Table1[[#This Row],[Duration]],1)</f>
        <v>43902</v>
      </c>
      <c r="G35" s="4">
        <v>3</v>
      </c>
      <c r="H35" s="5">
        <f>[1]!Table1[[#This Row],[Days completed]]/[1]!Table1[[#This Row],[Duration]]</f>
        <v>0.44444444444444442</v>
      </c>
      <c r="I35" s="4">
        <v>616000</v>
      </c>
      <c r="J35" s="6">
        <v>401579</v>
      </c>
    </row>
    <row r="36" spans="1:10" x14ac:dyDescent="0.3">
      <c r="A36" s="1" t="s">
        <v>19</v>
      </c>
      <c r="B36" s="2" t="s">
        <v>7</v>
      </c>
      <c r="C36" s="2" t="s">
        <v>2</v>
      </c>
      <c r="D36" s="3">
        <v>43880</v>
      </c>
      <c r="E36" s="2">
        <v>3</v>
      </c>
      <c r="F36" s="3">
        <f>WORKDAY.INTL([1]!Table1[[#This Row],[Start Date]]-1,[1]!Table1[[#This Row],[Duration]],1)</f>
        <v>43887</v>
      </c>
      <c r="G36" s="4">
        <v>3</v>
      </c>
      <c r="H36" s="5">
        <f>[1]!Table1[[#This Row],[Days completed]]/[1]!Table1[[#This Row],[Duration]]</f>
        <v>0.6</v>
      </c>
      <c r="I36" s="4">
        <v>817000</v>
      </c>
      <c r="J36" s="6">
        <v>807069</v>
      </c>
    </row>
    <row r="37" spans="1:10" x14ac:dyDescent="0.3">
      <c r="A37" s="1" t="s">
        <v>19</v>
      </c>
      <c r="B37" s="2" t="s">
        <v>9</v>
      </c>
      <c r="C37" s="2" t="s">
        <v>4</v>
      </c>
      <c r="D37" s="3">
        <v>43882</v>
      </c>
      <c r="E37" s="2">
        <v>7</v>
      </c>
      <c r="F37" s="3">
        <f>WORKDAY.INTL([1]!Table1[[#This Row],[Start Date]]-1,[1]!Table1[[#This Row],[Duration]],1)</f>
        <v>43882</v>
      </c>
      <c r="G37" s="4">
        <v>3</v>
      </c>
      <c r="H37" s="5">
        <f>[1]!Table1[[#This Row],[Days completed]]/[1]!Table1[[#This Row],[Duration]]</f>
        <v>1</v>
      </c>
      <c r="I37" s="4">
        <v>372000</v>
      </c>
      <c r="J37" s="6">
        <v>173166</v>
      </c>
    </row>
    <row r="38" spans="1:10" x14ac:dyDescent="0.3">
      <c r="A38" s="1" t="s">
        <v>19</v>
      </c>
      <c r="B38" s="2" t="s">
        <v>11</v>
      </c>
      <c r="C38" s="2" t="s">
        <v>6</v>
      </c>
      <c r="D38" s="3">
        <v>43885</v>
      </c>
      <c r="E38" s="2">
        <v>10</v>
      </c>
      <c r="F38" s="3">
        <f>WORKDAY.INTL([1]!Table1[[#This Row],[Start Date]]-1,[1]!Table1[[#This Row],[Duration]],1)</f>
        <v>43892</v>
      </c>
      <c r="G38" s="4">
        <v>2</v>
      </c>
      <c r="H38" s="5">
        <f>[1]!Table1[[#This Row],[Days completed]]/[1]!Table1[[#This Row],[Duration]]</f>
        <v>0.42857142857142855</v>
      </c>
      <c r="I38" s="4">
        <v>50000</v>
      </c>
      <c r="J38" s="6">
        <v>8400</v>
      </c>
    </row>
    <row r="39" spans="1:10" x14ac:dyDescent="0.3">
      <c r="A39" s="1" t="s">
        <v>19</v>
      </c>
      <c r="B39" s="2" t="s">
        <v>12</v>
      </c>
      <c r="C39" s="2" t="s">
        <v>8</v>
      </c>
      <c r="D39" s="3">
        <v>43885</v>
      </c>
      <c r="E39" s="2">
        <v>10</v>
      </c>
      <c r="F39" s="3">
        <f>WORKDAY.INTL([1]!Table1[[#This Row],[Start Date]]-1,[1]!Table1[[#This Row],[Duration]],1)</f>
        <v>43896</v>
      </c>
      <c r="G39" s="4">
        <v>3</v>
      </c>
      <c r="H39" s="5">
        <f>[1]!Table1[[#This Row],[Days completed]]/[1]!Table1[[#This Row],[Duration]]</f>
        <v>0.2</v>
      </c>
      <c r="I39" s="4">
        <v>807000</v>
      </c>
      <c r="J39" s="6">
        <v>262679</v>
      </c>
    </row>
    <row r="40" spans="1:10" x14ac:dyDescent="0.3">
      <c r="A40" s="1" t="s">
        <v>19</v>
      </c>
      <c r="B40" s="2" t="s">
        <v>13</v>
      </c>
      <c r="C40" s="2" t="s">
        <v>10</v>
      </c>
      <c r="D40" s="3">
        <v>43885</v>
      </c>
      <c r="E40" s="2">
        <v>3</v>
      </c>
      <c r="F40" s="3">
        <f>WORKDAY.INTL([1]!Table1[[#This Row],[Start Date]]-1,[1]!Table1[[#This Row],[Duration]],1)</f>
        <v>43896</v>
      </c>
      <c r="G40" s="4">
        <v>0</v>
      </c>
      <c r="H40" s="5">
        <f>[1]!Table1[[#This Row],[Days completed]]/[1]!Table1[[#This Row],[Duration]]</f>
        <v>0.3</v>
      </c>
      <c r="I40" s="4">
        <v>691000</v>
      </c>
      <c r="J4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3E35-A514-4F5F-8CD0-53ADF364162B}">
  <dimension ref="A1:J43"/>
  <sheetViews>
    <sheetView tabSelected="1" workbookViewId="0">
      <selection sqref="A1:XFD1048576"/>
    </sheetView>
  </sheetViews>
  <sheetFormatPr defaultRowHeight="14.4" x14ac:dyDescent="0.3"/>
  <cols>
    <col min="1" max="1" width="9.21875" bestFit="1" customWidth="1"/>
    <col min="2" max="2" width="9" bestFit="1" customWidth="1"/>
    <col min="3" max="3" width="10.77734375" bestFit="1" customWidth="1"/>
    <col min="4" max="4" width="11.5546875" bestFit="1" customWidth="1"/>
    <col min="5" max="5" width="10.5546875" bestFit="1" customWidth="1"/>
    <col min="6" max="6" width="10.77734375" bestFit="1" customWidth="1"/>
    <col min="7" max="7" width="16.77734375" bestFit="1" customWidth="1"/>
    <col min="8" max="8" width="10.33203125" bestFit="1" customWidth="1"/>
    <col min="9" max="9" width="9.21875" bestFit="1" customWidth="1"/>
    <col min="10" max="10" width="9" bestFit="1" customWidth="1"/>
  </cols>
  <sheetData>
    <row r="1" spans="1:10" x14ac:dyDescent="0.3">
      <c r="A1" s="7" t="s">
        <v>20</v>
      </c>
    </row>
    <row r="3" spans="1:10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3">
      <c r="A4" t="s">
        <v>0</v>
      </c>
      <c r="B4" t="s">
        <v>1</v>
      </c>
      <c r="C4" t="s">
        <v>2</v>
      </c>
      <c r="D4" s="8">
        <v>43878</v>
      </c>
      <c r="E4">
        <v>5</v>
      </c>
      <c r="F4" s="8">
        <v>43882</v>
      </c>
      <c r="G4">
        <v>2</v>
      </c>
      <c r="H4">
        <v>0.4</v>
      </c>
      <c r="I4">
        <v>218000</v>
      </c>
      <c r="J4">
        <v>97337</v>
      </c>
    </row>
    <row r="5" spans="1:10" x14ac:dyDescent="0.3">
      <c r="A5" t="s">
        <v>0</v>
      </c>
      <c r="B5" t="s">
        <v>3</v>
      </c>
      <c r="C5" t="s">
        <v>4</v>
      </c>
      <c r="D5" s="8">
        <v>43878</v>
      </c>
      <c r="E5">
        <v>6</v>
      </c>
      <c r="F5" s="8">
        <v>43885</v>
      </c>
      <c r="G5">
        <v>3</v>
      </c>
      <c r="H5">
        <v>0.5</v>
      </c>
      <c r="I5">
        <v>393000</v>
      </c>
      <c r="J5">
        <v>177440</v>
      </c>
    </row>
    <row r="6" spans="1:10" x14ac:dyDescent="0.3">
      <c r="A6" t="s">
        <v>0</v>
      </c>
      <c r="B6" t="s">
        <v>5</v>
      </c>
      <c r="C6" t="s">
        <v>6</v>
      </c>
      <c r="D6" s="8">
        <v>43879</v>
      </c>
      <c r="E6">
        <v>10</v>
      </c>
      <c r="F6" s="8">
        <v>43892</v>
      </c>
      <c r="G6">
        <v>4</v>
      </c>
      <c r="H6">
        <v>0.4</v>
      </c>
      <c r="I6">
        <v>86000</v>
      </c>
      <c r="J6">
        <v>31046</v>
      </c>
    </row>
    <row r="7" spans="1:10" x14ac:dyDescent="0.3">
      <c r="A7" t="s">
        <v>0</v>
      </c>
      <c r="B7" t="s">
        <v>7</v>
      </c>
      <c r="C7" t="s">
        <v>8</v>
      </c>
      <c r="D7" s="8">
        <v>43882</v>
      </c>
      <c r="E7">
        <v>9</v>
      </c>
      <c r="F7" s="8">
        <v>43894</v>
      </c>
      <c r="G7">
        <v>3</v>
      </c>
      <c r="H7">
        <v>0.33333333333333331</v>
      </c>
      <c r="I7">
        <v>732000</v>
      </c>
      <c r="J7">
        <v>261324</v>
      </c>
    </row>
    <row r="8" spans="1:10" x14ac:dyDescent="0.3">
      <c r="A8" t="s">
        <v>0</v>
      </c>
      <c r="B8" t="s">
        <v>9</v>
      </c>
      <c r="C8" t="s">
        <v>10</v>
      </c>
      <c r="D8" s="8">
        <v>43878</v>
      </c>
      <c r="E8">
        <v>4</v>
      </c>
      <c r="F8" s="8">
        <v>43881</v>
      </c>
      <c r="G8">
        <v>1</v>
      </c>
      <c r="H8">
        <v>0.25</v>
      </c>
      <c r="I8">
        <v>492000</v>
      </c>
      <c r="J8">
        <v>116850</v>
      </c>
    </row>
    <row r="9" spans="1:10" x14ac:dyDescent="0.3">
      <c r="A9" t="s">
        <v>0</v>
      </c>
      <c r="B9" t="s">
        <v>11</v>
      </c>
      <c r="C9" t="s">
        <v>2</v>
      </c>
      <c r="D9" s="8">
        <v>43881</v>
      </c>
      <c r="E9">
        <v>6</v>
      </c>
      <c r="F9" s="8">
        <v>43888</v>
      </c>
      <c r="G9">
        <v>0</v>
      </c>
      <c r="H9">
        <v>0</v>
      </c>
      <c r="I9">
        <v>188000</v>
      </c>
      <c r="J9">
        <v>0</v>
      </c>
    </row>
    <row r="10" spans="1:10" x14ac:dyDescent="0.3">
      <c r="A10" t="s">
        <v>0</v>
      </c>
      <c r="B10" t="s">
        <v>12</v>
      </c>
      <c r="C10" t="s">
        <v>4</v>
      </c>
      <c r="D10" s="8">
        <v>43881</v>
      </c>
      <c r="E10">
        <v>7</v>
      </c>
      <c r="F10" s="8">
        <v>43889</v>
      </c>
      <c r="G10">
        <v>3</v>
      </c>
      <c r="H10">
        <v>0.42857142857142855</v>
      </c>
      <c r="I10">
        <v>180000</v>
      </c>
      <c r="J10">
        <v>79380</v>
      </c>
    </row>
    <row r="11" spans="1:10" x14ac:dyDescent="0.3">
      <c r="A11" t="s">
        <v>0</v>
      </c>
      <c r="B11" t="s">
        <v>13</v>
      </c>
      <c r="C11" t="s">
        <v>6</v>
      </c>
      <c r="D11" s="8">
        <v>43885</v>
      </c>
      <c r="E11">
        <v>5</v>
      </c>
      <c r="F11" s="8">
        <v>43889</v>
      </c>
      <c r="G11">
        <v>2</v>
      </c>
      <c r="H11">
        <v>0.4</v>
      </c>
      <c r="I11">
        <v>582000</v>
      </c>
      <c r="J11">
        <v>195231</v>
      </c>
    </row>
    <row r="12" spans="1:10" x14ac:dyDescent="0.3">
      <c r="A12" t="s">
        <v>0</v>
      </c>
      <c r="B12" t="s">
        <v>14</v>
      </c>
      <c r="C12" t="s">
        <v>8</v>
      </c>
      <c r="D12" s="8">
        <v>43885</v>
      </c>
      <c r="E12">
        <v>9</v>
      </c>
      <c r="F12" s="8">
        <v>43895</v>
      </c>
      <c r="G12">
        <v>1</v>
      </c>
      <c r="H12">
        <v>0.1111111111111111</v>
      </c>
      <c r="I12">
        <v>562000</v>
      </c>
      <c r="J12">
        <v>74746</v>
      </c>
    </row>
    <row r="13" spans="1:10" x14ac:dyDescent="0.3">
      <c r="A13" t="s">
        <v>0</v>
      </c>
      <c r="B13" t="s">
        <v>15</v>
      </c>
      <c r="C13" t="s">
        <v>10</v>
      </c>
      <c r="D13" s="8">
        <v>43885</v>
      </c>
      <c r="E13">
        <v>6</v>
      </c>
      <c r="F13" s="8">
        <v>43892</v>
      </c>
      <c r="G13">
        <v>3</v>
      </c>
      <c r="H13">
        <v>0.5</v>
      </c>
      <c r="I13">
        <v>416000</v>
      </c>
      <c r="J13">
        <v>175015</v>
      </c>
    </row>
    <row r="14" spans="1:10" x14ac:dyDescent="0.3">
      <c r="A14" t="s">
        <v>16</v>
      </c>
      <c r="B14" t="s">
        <v>1</v>
      </c>
      <c r="C14" t="s">
        <v>2</v>
      </c>
      <c r="D14" s="8">
        <v>43879</v>
      </c>
      <c r="E14">
        <v>7</v>
      </c>
      <c r="F14" s="8">
        <v>43887</v>
      </c>
      <c r="G14">
        <v>7</v>
      </c>
      <c r="H14">
        <v>1</v>
      </c>
      <c r="I14">
        <v>293000</v>
      </c>
      <c r="J14">
        <v>273001</v>
      </c>
    </row>
    <row r="15" spans="1:10" x14ac:dyDescent="0.3">
      <c r="A15" t="s">
        <v>16</v>
      </c>
      <c r="B15" t="s">
        <v>3</v>
      </c>
      <c r="C15" t="s">
        <v>4</v>
      </c>
      <c r="D15" s="8">
        <v>43878</v>
      </c>
      <c r="E15">
        <v>9</v>
      </c>
      <c r="F15" s="8">
        <v>43888</v>
      </c>
      <c r="G15">
        <v>4</v>
      </c>
      <c r="H15">
        <v>0.44444444444444442</v>
      </c>
      <c r="I15">
        <v>224000</v>
      </c>
      <c r="J15">
        <v>57910</v>
      </c>
    </row>
    <row r="16" spans="1:10" x14ac:dyDescent="0.3">
      <c r="A16" t="s">
        <v>16</v>
      </c>
      <c r="B16" t="s">
        <v>5</v>
      </c>
      <c r="C16" t="s">
        <v>6</v>
      </c>
      <c r="D16" s="8">
        <v>43879</v>
      </c>
      <c r="E16">
        <v>8</v>
      </c>
      <c r="F16" s="8">
        <v>43888</v>
      </c>
      <c r="G16">
        <v>0</v>
      </c>
      <c r="H16">
        <v>0</v>
      </c>
      <c r="I16">
        <v>978000</v>
      </c>
      <c r="J16">
        <v>0</v>
      </c>
    </row>
    <row r="17" spans="1:10" x14ac:dyDescent="0.3">
      <c r="A17" t="s">
        <v>16</v>
      </c>
      <c r="B17" t="s">
        <v>7</v>
      </c>
      <c r="C17" t="s">
        <v>8</v>
      </c>
      <c r="D17" s="8">
        <v>43881</v>
      </c>
      <c r="E17">
        <v>7</v>
      </c>
      <c r="F17" s="8">
        <v>43889</v>
      </c>
      <c r="G17">
        <v>3</v>
      </c>
      <c r="H17">
        <v>0.42857142857142855</v>
      </c>
      <c r="I17">
        <v>932000</v>
      </c>
      <c r="J17">
        <v>379157</v>
      </c>
    </row>
    <row r="18" spans="1:10" x14ac:dyDescent="0.3">
      <c r="A18" t="s">
        <v>16</v>
      </c>
      <c r="B18" t="s">
        <v>9</v>
      </c>
      <c r="C18" t="s">
        <v>10</v>
      </c>
      <c r="D18" s="8">
        <v>43882</v>
      </c>
      <c r="E18">
        <v>4</v>
      </c>
      <c r="F18" s="8">
        <v>43887</v>
      </c>
      <c r="G18">
        <v>1</v>
      </c>
      <c r="H18">
        <v>0.25</v>
      </c>
      <c r="I18">
        <v>854000</v>
      </c>
      <c r="J18">
        <v>322812</v>
      </c>
    </row>
    <row r="19" spans="1:10" x14ac:dyDescent="0.3">
      <c r="A19" t="s">
        <v>16</v>
      </c>
      <c r="B19" t="s">
        <v>11</v>
      </c>
      <c r="C19" t="s">
        <v>2</v>
      </c>
      <c r="D19" s="8">
        <v>43882</v>
      </c>
      <c r="E19">
        <v>6</v>
      </c>
      <c r="F19" s="8">
        <v>43889</v>
      </c>
      <c r="G19">
        <v>3</v>
      </c>
      <c r="H19">
        <v>0.5</v>
      </c>
      <c r="I19">
        <v>81000</v>
      </c>
      <c r="J19">
        <v>38461</v>
      </c>
    </row>
    <row r="20" spans="1:10" x14ac:dyDescent="0.3">
      <c r="A20" t="s">
        <v>16</v>
      </c>
      <c r="B20" t="s">
        <v>12</v>
      </c>
      <c r="C20" t="s">
        <v>4</v>
      </c>
      <c r="D20" s="8">
        <v>43885</v>
      </c>
      <c r="E20">
        <v>6</v>
      </c>
      <c r="F20" s="8">
        <v>43892</v>
      </c>
      <c r="G20">
        <v>5</v>
      </c>
      <c r="H20">
        <v>0.83333333333333337</v>
      </c>
      <c r="I20">
        <v>169000</v>
      </c>
      <c r="J20">
        <v>136468</v>
      </c>
    </row>
    <row r="21" spans="1:10" x14ac:dyDescent="0.3">
      <c r="A21" t="s">
        <v>16</v>
      </c>
      <c r="B21" t="s">
        <v>13</v>
      </c>
      <c r="C21" t="s">
        <v>6</v>
      </c>
      <c r="D21" s="8">
        <v>43886</v>
      </c>
      <c r="E21">
        <v>4</v>
      </c>
      <c r="F21" s="8">
        <v>43889</v>
      </c>
      <c r="G21">
        <v>1</v>
      </c>
      <c r="H21">
        <v>0.25</v>
      </c>
      <c r="I21">
        <v>61000</v>
      </c>
      <c r="J21">
        <v>12078</v>
      </c>
    </row>
    <row r="22" spans="1:10" x14ac:dyDescent="0.3">
      <c r="A22" t="s">
        <v>16</v>
      </c>
      <c r="B22" t="s">
        <v>14</v>
      </c>
      <c r="C22" t="s">
        <v>8</v>
      </c>
      <c r="D22" s="8">
        <v>43888</v>
      </c>
      <c r="E22">
        <v>7</v>
      </c>
      <c r="F22" s="8">
        <v>43896</v>
      </c>
      <c r="G22">
        <v>3</v>
      </c>
      <c r="H22">
        <v>0.42857142857142855</v>
      </c>
      <c r="I22">
        <v>645000</v>
      </c>
      <c r="J22">
        <v>273048</v>
      </c>
    </row>
    <row r="23" spans="1:10" x14ac:dyDescent="0.3">
      <c r="A23" t="s">
        <v>16</v>
      </c>
      <c r="B23" t="s">
        <v>15</v>
      </c>
      <c r="C23" t="s">
        <v>10</v>
      </c>
      <c r="D23" s="8">
        <v>43878</v>
      </c>
      <c r="E23">
        <v>3</v>
      </c>
      <c r="F23" s="8">
        <v>43880</v>
      </c>
      <c r="G23">
        <v>3</v>
      </c>
      <c r="H23">
        <v>1</v>
      </c>
      <c r="I23">
        <v>68000</v>
      </c>
      <c r="J23">
        <v>64987</v>
      </c>
    </row>
    <row r="24" spans="1:10" x14ac:dyDescent="0.3">
      <c r="A24" t="s">
        <v>17</v>
      </c>
      <c r="B24" t="s">
        <v>1</v>
      </c>
      <c r="C24" t="s">
        <v>2</v>
      </c>
      <c r="D24" s="8">
        <v>43878</v>
      </c>
      <c r="E24">
        <v>10</v>
      </c>
      <c r="F24" s="8">
        <v>43889</v>
      </c>
      <c r="G24">
        <v>5</v>
      </c>
      <c r="H24">
        <v>0.5</v>
      </c>
      <c r="I24">
        <v>839000</v>
      </c>
      <c r="J24">
        <v>406974</v>
      </c>
    </row>
    <row r="25" spans="1:10" x14ac:dyDescent="0.3">
      <c r="A25" t="s">
        <v>17</v>
      </c>
      <c r="B25" t="s">
        <v>3</v>
      </c>
      <c r="C25" t="s">
        <v>4</v>
      </c>
      <c r="D25" s="8">
        <v>43882</v>
      </c>
      <c r="E25">
        <v>5</v>
      </c>
      <c r="F25" s="8">
        <v>43888</v>
      </c>
      <c r="G25">
        <v>4</v>
      </c>
      <c r="H25">
        <v>0.8</v>
      </c>
      <c r="I25">
        <v>729000</v>
      </c>
      <c r="J25">
        <v>487139</v>
      </c>
    </row>
    <row r="26" spans="1:10" x14ac:dyDescent="0.3">
      <c r="A26" t="s">
        <v>17</v>
      </c>
      <c r="B26" t="s">
        <v>5</v>
      </c>
      <c r="C26" t="s">
        <v>6</v>
      </c>
      <c r="D26" s="8">
        <v>43885</v>
      </c>
      <c r="E26">
        <v>7</v>
      </c>
      <c r="F26" s="8">
        <v>43893</v>
      </c>
      <c r="G26">
        <v>3</v>
      </c>
      <c r="H26">
        <v>0.42857142857142855</v>
      </c>
      <c r="I26">
        <v>826000</v>
      </c>
      <c r="J26">
        <v>298186</v>
      </c>
    </row>
    <row r="27" spans="1:10" x14ac:dyDescent="0.3">
      <c r="A27" t="s">
        <v>17</v>
      </c>
      <c r="B27" t="s">
        <v>7</v>
      </c>
      <c r="C27" t="s">
        <v>8</v>
      </c>
      <c r="D27" s="8">
        <v>43887</v>
      </c>
      <c r="E27">
        <v>7</v>
      </c>
      <c r="F27" s="8">
        <v>43895</v>
      </c>
      <c r="G27">
        <v>2</v>
      </c>
      <c r="H27">
        <v>0.2857142857142857</v>
      </c>
      <c r="I27">
        <v>895000</v>
      </c>
      <c r="J27">
        <v>280583</v>
      </c>
    </row>
    <row r="28" spans="1:10" x14ac:dyDescent="0.3">
      <c r="A28" t="s">
        <v>17</v>
      </c>
      <c r="B28" t="s">
        <v>9</v>
      </c>
      <c r="C28" t="s">
        <v>10</v>
      </c>
      <c r="D28" s="8">
        <v>43889</v>
      </c>
      <c r="E28">
        <v>3</v>
      </c>
      <c r="F28" s="8">
        <v>43893</v>
      </c>
      <c r="G28">
        <v>2</v>
      </c>
      <c r="H28">
        <v>0.66666666666666663</v>
      </c>
      <c r="I28">
        <v>341000</v>
      </c>
      <c r="J28">
        <v>129785</v>
      </c>
    </row>
    <row r="29" spans="1:10" x14ac:dyDescent="0.3">
      <c r="A29" t="s">
        <v>18</v>
      </c>
      <c r="B29" t="s">
        <v>1</v>
      </c>
      <c r="C29" t="s">
        <v>2</v>
      </c>
      <c r="D29" s="8">
        <v>43892</v>
      </c>
      <c r="E29">
        <v>9</v>
      </c>
      <c r="F29" s="8">
        <v>43902</v>
      </c>
      <c r="G29">
        <v>8</v>
      </c>
      <c r="H29">
        <v>0.88888888888888884</v>
      </c>
      <c r="I29">
        <v>787000</v>
      </c>
      <c r="J29">
        <v>727188</v>
      </c>
    </row>
    <row r="30" spans="1:10" x14ac:dyDescent="0.3">
      <c r="A30" t="s">
        <v>18</v>
      </c>
      <c r="B30" t="s">
        <v>3</v>
      </c>
      <c r="C30" t="s">
        <v>4</v>
      </c>
      <c r="D30" s="8">
        <v>43892</v>
      </c>
      <c r="E30">
        <v>10</v>
      </c>
      <c r="F30" s="8">
        <v>43903</v>
      </c>
      <c r="G30">
        <v>2</v>
      </c>
      <c r="H30">
        <v>0.2</v>
      </c>
      <c r="I30">
        <v>228000</v>
      </c>
      <c r="J30">
        <v>47880</v>
      </c>
    </row>
    <row r="31" spans="1:10" x14ac:dyDescent="0.3">
      <c r="A31" t="s">
        <v>18</v>
      </c>
      <c r="B31" t="s">
        <v>5</v>
      </c>
      <c r="C31" t="s">
        <v>6</v>
      </c>
      <c r="D31" s="8">
        <v>43878</v>
      </c>
      <c r="E31">
        <v>4</v>
      </c>
      <c r="F31" s="8">
        <v>43881</v>
      </c>
      <c r="G31">
        <v>0</v>
      </c>
      <c r="H31">
        <v>0</v>
      </c>
      <c r="I31">
        <v>147000</v>
      </c>
      <c r="J31">
        <v>0</v>
      </c>
    </row>
    <row r="32" spans="1:10" x14ac:dyDescent="0.3">
      <c r="A32" t="s">
        <v>18</v>
      </c>
      <c r="B32" t="s">
        <v>7</v>
      </c>
      <c r="C32" t="s">
        <v>8</v>
      </c>
      <c r="D32" s="8">
        <v>43880</v>
      </c>
      <c r="E32">
        <v>8</v>
      </c>
      <c r="F32" s="8">
        <v>43889</v>
      </c>
      <c r="G32">
        <v>5</v>
      </c>
      <c r="H32">
        <v>0.625</v>
      </c>
      <c r="I32">
        <v>338000</v>
      </c>
      <c r="J32">
        <v>205123</v>
      </c>
    </row>
    <row r="33" spans="1:10" x14ac:dyDescent="0.3">
      <c r="A33" t="s">
        <v>18</v>
      </c>
      <c r="B33" t="s">
        <v>9</v>
      </c>
      <c r="C33" t="s">
        <v>10</v>
      </c>
      <c r="D33" s="8">
        <v>43885</v>
      </c>
      <c r="E33">
        <v>10</v>
      </c>
      <c r="F33" s="8">
        <v>43896</v>
      </c>
      <c r="G33">
        <v>3</v>
      </c>
      <c r="H33">
        <v>0.3</v>
      </c>
      <c r="I33">
        <v>857000</v>
      </c>
      <c r="J33">
        <v>305949</v>
      </c>
    </row>
    <row r="34" spans="1:10" x14ac:dyDescent="0.3">
      <c r="A34" t="s">
        <v>18</v>
      </c>
      <c r="B34" t="s">
        <v>11</v>
      </c>
      <c r="C34" t="s">
        <v>2</v>
      </c>
      <c r="D34" s="8">
        <v>43886</v>
      </c>
      <c r="E34">
        <v>6</v>
      </c>
      <c r="F34" s="8">
        <v>43893</v>
      </c>
      <c r="G34">
        <v>3</v>
      </c>
      <c r="H34">
        <v>0.5</v>
      </c>
      <c r="I34">
        <v>602000</v>
      </c>
      <c r="J34">
        <v>322371</v>
      </c>
    </row>
    <row r="35" spans="1:10" x14ac:dyDescent="0.3">
      <c r="A35" t="s">
        <v>18</v>
      </c>
      <c r="B35" t="s">
        <v>12</v>
      </c>
      <c r="C35" t="s">
        <v>4</v>
      </c>
      <c r="D35" s="8">
        <v>43886</v>
      </c>
      <c r="E35">
        <v>4</v>
      </c>
      <c r="F35" s="8">
        <v>43889</v>
      </c>
      <c r="G35">
        <v>2</v>
      </c>
      <c r="H35">
        <v>0.5</v>
      </c>
      <c r="I35">
        <v>990000</v>
      </c>
      <c r="J35">
        <v>451440</v>
      </c>
    </row>
    <row r="36" spans="1:10" x14ac:dyDescent="0.3">
      <c r="A36" t="s">
        <v>19</v>
      </c>
      <c r="B36" t="s">
        <v>1</v>
      </c>
      <c r="C36" t="s">
        <v>6</v>
      </c>
      <c r="D36" s="8">
        <v>43889</v>
      </c>
      <c r="E36">
        <v>8</v>
      </c>
      <c r="F36" s="8">
        <v>43900</v>
      </c>
      <c r="G36">
        <v>3</v>
      </c>
      <c r="H36">
        <v>0.375</v>
      </c>
      <c r="I36">
        <v>96000</v>
      </c>
      <c r="J36">
        <v>32256</v>
      </c>
    </row>
    <row r="37" spans="1:10" x14ac:dyDescent="0.3">
      <c r="A37" t="s">
        <v>19</v>
      </c>
      <c r="B37" t="s">
        <v>3</v>
      </c>
      <c r="C37" t="s">
        <v>8</v>
      </c>
      <c r="D37" s="8">
        <v>43892</v>
      </c>
      <c r="E37">
        <v>9</v>
      </c>
      <c r="F37" s="8">
        <v>43902</v>
      </c>
      <c r="G37">
        <v>4</v>
      </c>
      <c r="H37">
        <v>0.44444444444444442</v>
      </c>
      <c r="I37">
        <v>513000</v>
      </c>
      <c r="J37">
        <v>226233</v>
      </c>
    </row>
    <row r="38" spans="1:10" x14ac:dyDescent="0.3">
      <c r="A38" t="s">
        <v>19</v>
      </c>
      <c r="B38" t="s">
        <v>5</v>
      </c>
      <c r="C38" t="s">
        <v>10</v>
      </c>
      <c r="D38" s="8">
        <v>43881</v>
      </c>
      <c r="E38">
        <v>5</v>
      </c>
      <c r="F38" s="8">
        <v>43887</v>
      </c>
      <c r="G38">
        <v>3</v>
      </c>
      <c r="H38">
        <v>0.6</v>
      </c>
      <c r="I38">
        <v>616000</v>
      </c>
      <c r="J38">
        <v>401579</v>
      </c>
    </row>
    <row r="39" spans="1:10" x14ac:dyDescent="0.3">
      <c r="A39" t="s">
        <v>19</v>
      </c>
      <c r="B39" t="s">
        <v>7</v>
      </c>
      <c r="C39" t="s">
        <v>2</v>
      </c>
      <c r="D39" s="8">
        <v>43880</v>
      </c>
      <c r="E39">
        <v>3</v>
      </c>
      <c r="F39" s="8">
        <v>43882</v>
      </c>
      <c r="G39">
        <v>3</v>
      </c>
      <c r="H39">
        <v>1</v>
      </c>
      <c r="I39">
        <v>817000</v>
      </c>
      <c r="J39">
        <v>807069</v>
      </c>
    </row>
    <row r="40" spans="1:10" x14ac:dyDescent="0.3">
      <c r="A40" t="s">
        <v>19</v>
      </c>
      <c r="B40" t="s">
        <v>9</v>
      </c>
      <c r="C40" t="s">
        <v>4</v>
      </c>
      <c r="D40" s="8">
        <v>43882</v>
      </c>
      <c r="E40">
        <v>7</v>
      </c>
      <c r="F40" s="8">
        <v>43892</v>
      </c>
      <c r="G40">
        <v>3</v>
      </c>
      <c r="H40">
        <v>0.42857142857142855</v>
      </c>
      <c r="I40">
        <v>372000</v>
      </c>
      <c r="J40">
        <v>173166</v>
      </c>
    </row>
    <row r="41" spans="1:10" x14ac:dyDescent="0.3">
      <c r="A41" t="s">
        <v>19</v>
      </c>
      <c r="B41" t="s">
        <v>11</v>
      </c>
      <c r="C41" t="s">
        <v>6</v>
      </c>
      <c r="D41" s="8">
        <v>43885</v>
      </c>
      <c r="E41">
        <v>10</v>
      </c>
      <c r="F41" s="8">
        <v>43896</v>
      </c>
      <c r="G41">
        <v>2</v>
      </c>
      <c r="H41">
        <v>0.2</v>
      </c>
      <c r="I41">
        <v>50000</v>
      </c>
      <c r="J41">
        <v>8400</v>
      </c>
    </row>
    <row r="42" spans="1:10" x14ac:dyDescent="0.3">
      <c r="A42" t="s">
        <v>19</v>
      </c>
      <c r="B42" t="s">
        <v>12</v>
      </c>
      <c r="C42" t="s">
        <v>8</v>
      </c>
      <c r="D42" s="8">
        <v>43885</v>
      </c>
      <c r="E42">
        <v>10</v>
      </c>
      <c r="F42" s="8">
        <v>43896</v>
      </c>
      <c r="G42">
        <v>3</v>
      </c>
      <c r="H42">
        <v>0.3</v>
      </c>
      <c r="I42">
        <v>807000</v>
      </c>
      <c r="J42">
        <v>262679</v>
      </c>
    </row>
    <row r="43" spans="1:10" x14ac:dyDescent="0.3">
      <c r="A43" t="s">
        <v>19</v>
      </c>
      <c r="B43" t="s">
        <v>13</v>
      </c>
      <c r="C43" t="s">
        <v>10</v>
      </c>
      <c r="D43" s="8">
        <v>43885</v>
      </c>
      <c r="E43">
        <v>3</v>
      </c>
      <c r="F43" s="8">
        <v>43887</v>
      </c>
      <c r="G43">
        <v>0</v>
      </c>
      <c r="H43">
        <v>0</v>
      </c>
      <c r="I43">
        <v>691000</v>
      </c>
      <c r="J4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oluwoledamilola631@gmail.com</dc:creator>
  <cp:lastModifiedBy>oluwoledamilola631@gmail.com</cp:lastModifiedBy>
  <dcterms:created xsi:type="dcterms:W3CDTF">2026-01-08T11:25:40Z</dcterms:created>
  <dcterms:modified xsi:type="dcterms:W3CDTF">2026-01-08T11:44:16Z</dcterms:modified>
</cp:coreProperties>
</file>